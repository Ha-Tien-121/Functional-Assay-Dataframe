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guptax/Desktop/"/>
    </mc:Choice>
  </mc:AlternateContent>
  <xr:revisionPtr revIDLastSave="0" documentId="8_{4F6744D3-F87B-5948-87D2-4D5A4C122231}" xr6:coauthVersionLast="47" xr6:coauthVersionMax="47" xr10:uidLastSave="{00000000-0000-0000-0000-000000000000}"/>
  <bookViews>
    <workbookView xWindow="900" yWindow="1080" windowWidth="27640" windowHeight="16300" xr2:uid="{C4466682-E919-744F-9B5C-4FEE7DCC98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</calcChain>
</file>

<file path=xl/sharedStrings.xml><?xml version="1.0" encoding="utf-8"?>
<sst xmlns="http://schemas.openxmlformats.org/spreadsheetml/2006/main" count="202" uniqueCount="141">
  <si>
    <t>ID</t>
  </si>
  <si>
    <t>Dataset</t>
  </si>
  <si>
    <t>Gene</t>
  </si>
  <si>
    <t>HGNC_id</t>
  </si>
  <si>
    <t>Chrom</t>
  </si>
  <si>
    <t>STRAND</t>
  </si>
  <si>
    <t>hg19_pos</t>
  </si>
  <si>
    <t>hg38_start</t>
  </si>
  <si>
    <t>hg38_end</t>
  </si>
  <si>
    <t>ref_allele</t>
  </si>
  <si>
    <t>alt_allele</t>
  </si>
  <si>
    <t>auth_transcript_id</t>
  </si>
  <si>
    <t>transcript_pos</t>
  </si>
  <si>
    <t>transcript_ref</t>
  </si>
  <si>
    <t>transcript_alt</t>
  </si>
  <si>
    <t>aa_pos</t>
  </si>
  <si>
    <t>aa_ref</t>
  </si>
  <si>
    <t>aa_alt</t>
  </si>
  <si>
    <t>hgvs_c</t>
  </si>
  <si>
    <t>hgvs_p</t>
  </si>
  <si>
    <t>consequence</t>
  </si>
  <si>
    <t>simplified_consequence</t>
  </si>
  <si>
    <t>auth_reported_score</t>
  </si>
  <si>
    <t>auth_reported_rep_score</t>
  </si>
  <si>
    <t>auth_reported_func_class</t>
  </si>
  <si>
    <t>splice_measure</t>
  </si>
  <si>
    <t>gnomad_MAF</t>
  </si>
  <si>
    <t>clinvar_sig_2025</t>
  </si>
  <si>
    <t>clinvar_star_2025</t>
  </si>
  <si>
    <t>clinvar_date_last_reviewed_2025</t>
  </si>
  <si>
    <t>nucleotide_or_aa</t>
  </si>
  <si>
    <t>MaveDB Score Set URN</t>
  </si>
  <si>
    <t>Ensembl_transcript_ID</t>
  </si>
  <si>
    <t>Ref_seq_transcript_ID</t>
  </si>
  <si>
    <t>Model_system</t>
  </si>
  <si>
    <t>Assay Type</t>
  </si>
  <si>
    <t>Phenotype Measured ontology term</t>
  </si>
  <si>
    <t>Molecular or Biological Process Investigated (GO term)</t>
  </si>
  <si>
    <t>IGVF_produced</t>
  </si>
  <si>
    <t>Interval 1 name</t>
  </si>
  <si>
    <t>Interval 1 range</t>
  </si>
  <si>
    <t>Interval 1 MaveDB class</t>
  </si>
  <si>
    <t>Interval 2 name</t>
  </si>
  <si>
    <t>Interval 2 range</t>
  </si>
  <si>
    <t>Interval 2 MaveDB class</t>
  </si>
  <si>
    <t>Interval 3 name</t>
  </si>
  <si>
    <t>Interval 3 range</t>
  </si>
  <si>
    <t>Interval 3 MaveDB class</t>
  </si>
  <si>
    <t>Interval 4 name</t>
  </si>
  <si>
    <t>Interval 4 range</t>
  </si>
  <si>
    <t>Interval 4 MaveDB class</t>
  </si>
  <si>
    <t>Interval 5 name</t>
  </si>
  <si>
    <t>Interval 5 range</t>
  </si>
  <si>
    <t>Interval 5 MaveDB class</t>
  </si>
  <si>
    <t>Interval 6 name</t>
  </si>
  <si>
    <t>Interval 6 range</t>
  </si>
  <si>
    <t>Interval 6 MaveDB class</t>
  </si>
  <si>
    <t>Flag</t>
  </si>
  <si>
    <t>REVEL</t>
  </si>
  <si>
    <t>AM_score</t>
  </si>
  <si>
    <t>AM_class</t>
  </si>
  <si>
    <t>spliceAI_DS_AG</t>
  </si>
  <si>
    <t>spliceAI_DS_AL</t>
  </si>
  <si>
    <t>spliceAI_DS_DG</t>
  </si>
  <si>
    <t>spliceAI_DS_DL</t>
  </si>
  <si>
    <t>spliceAI_DP_AG</t>
  </si>
  <si>
    <t>spliceAI_DP_AL</t>
  </si>
  <si>
    <t>spliceAI_DP_DG</t>
  </si>
  <si>
    <t>spliceAI_DP_DL</t>
  </si>
  <si>
    <t>REVEL_train</t>
  </si>
  <si>
    <t>MutPred2</t>
  </si>
  <si>
    <t>MP2_train</t>
  </si>
  <si>
    <t>clinvar_sig_2018</t>
  </si>
  <si>
    <t>clinvar_star_2018</t>
  </si>
  <si>
    <t>clinvar_date_last_reviewed_2018</t>
  </si>
  <si>
    <t>ClinVar Variation Id_ClinGen_repo</t>
  </si>
  <si>
    <t>Allele Registry Id_ClinGen_repo</t>
  </si>
  <si>
    <t>Disease_ClinGen_repo</t>
  </si>
  <si>
    <t>Mondo Id_ClinGen_repo</t>
  </si>
  <si>
    <t>Mode of Inheritance_ClinGen_repo</t>
  </si>
  <si>
    <t>Assertion_ClinGen_repo</t>
  </si>
  <si>
    <t>Applied Evidence Codes (Met)_ClinGen_repo</t>
  </si>
  <si>
    <t>Applied Evidence Codes (Not Met)_ClinGen_repo</t>
  </si>
  <si>
    <t>Summary of interpretation_ClinGen_repo</t>
  </si>
  <si>
    <t>PubMed Articles_ClinGen_repo</t>
  </si>
  <si>
    <t>Expert Panel_ClinGen_repo</t>
  </si>
  <si>
    <t>Guideline_ClinGen_repo</t>
  </si>
  <si>
    <t>Approval Date_ClinGen_repo</t>
  </si>
  <si>
    <t>Published Date_ClinGen_repo</t>
  </si>
  <si>
    <t>Retracted_ClinGen_repo</t>
  </si>
  <si>
    <t>Evidence Repo Link_ClinGen_repo</t>
  </si>
  <si>
    <t>Uuid_ClinGen_repo</t>
  </si>
  <si>
    <t>Updated_Classification_ClinGen_repo</t>
  </si>
  <si>
    <t>Updated_Evidence Codes_ClinGen_repo</t>
  </si>
  <si>
    <t>BRCA1_Findlay_2018_var1</t>
  </si>
  <si>
    <t>BRCA1_Findlay_2018</t>
  </si>
  <si>
    <t>BRCA1</t>
  </si>
  <si>
    <t>T</t>
  </si>
  <si>
    <t>G</t>
  </si>
  <si>
    <t>NM_007294.3</t>
  </si>
  <si>
    <t>A</t>
  </si>
  <si>
    <t>C</t>
  </si>
  <si>
    <t>c.-19-3A&gt;C</t>
  </si>
  <si>
    <t>nan</t>
  </si>
  <si>
    <t>Splice region</t>
  </si>
  <si>
    <t>splicing_variant</t>
  </si>
  <si>
    <t>-0.568675758504309;-0.176545248348852</t>
  </si>
  <si>
    <t>FUNC</t>
  </si>
  <si>
    <t>Yes</t>
  </si>
  <si>
    <t>Likely benign</t>
  </si>
  <si>
    <t>criteria provided, single submitter</t>
  </si>
  <si>
    <t>nucleotide</t>
  </si>
  <si>
    <t>urn:mavedb:00000097-0-2</t>
  </si>
  <si>
    <t>ENST00000357654.9</t>
  </si>
  <si>
    <t>immortalized human cells</t>
  </si>
  <si>
    <t>Cell Fitness</t>
  </si>
  <si>
    <t>survival rate (OBI_0000789)</t>
  </si>
  <si>
    <t xml:space="preserve">molecular function (GO:0003674)
</t>
  </si>
  <si>
    <t>No</t>
  </si>
  <si>
    <t xml:space="preserve">Functional </t>
  </si>
  <si>
    <t>[-0.748, Inf)</t>
  </si>
  <si>
    <t>Normal</t>
  </si>
  <si>
    <t>Intermediate</t>
  </si>
  <si>
    <t>(-1.328, -0.748)</t>
  </si>
  <si>
    <t>Not specified</t>
  </si>
  <si>
    <t>Non-functional</t>
  </si>
  <si>
    <t>(-Inf,-1.328]</t>
  </si>
  <si>
    <t>Abnormal</t>
  </si>
  <si>
    <t>BRCA1_Findlay_2018_var2</t>
  </si>
  <si>
    <t>c.-19-3A&gt;G</t>
  </si>
  <si>
    <t>-0.332667114078832;0.242040175629815</t>
  </si>
  <si>
    <t>Benign</t>
  </si>
  <si>
    <t>reviewed by expert panel</t>
  </si>
  <si>
    <t>Conflicting interpretations of pathogenicity</t>
  </si>
  <si>
    <t>criteria provided, conflicting interpretations</t>
  </si>
  <si>
    <t>BRCA1_Findlay_2018_var3</t>
  </si>
  <si>
    <t>c.-19-3A&gt;T</t>
  </si>
  <si>
    <t>-0.440230467981572;0.223722191334123</t>
  </si>
  <si>
    <t>not provided</t>
  </si>
  <si>
    <t>no classification provided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</si>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</sst>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D4B6-AF18-B34C-BF21-237915093F7D}">
  <dimension ref="A1:CP4"/>
  <sheetViews>
    <sheetView tabSelected="1" workbookViewId="0">
      <selection activeCell="F8" sqref="F8"/>
    </sheetView>
  </sheetViews>
  <sheetFormatPr baseColWidth="10" defaultRowHeight="16" x14ac:dyDescent="0.2"/>
  <sheetData>
    <row r="1" spans="1:9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85" x14ac:dyDescent="0.2">
      <c r="A2" t="s">
        <v>94</v>
      </c>
      <c r="B2" t="s">
        <v>95</v>
      </c>
      <c r="C2" t="s">
        <v>96</v>
      </c>
      <c r="D2">
        <v>1100</v>
      </c>
      <c r="E2">
        <v>17</v>
      </c>
      <c r="F2">
        <v>-1</v>
      </c>
      <c r="G2">
        <v>41276135</v>
      </c>
      <c r="H2">
        <v>43124118</v>
      </c>
      <c r="I2">
        <v>43124118</v>
      </c>
      <c r="J2" t="s">
        <v>97</v>
      </c>
      <c r="K2" t="s">
        <v>98</v>
      </c>
      <c r="L2" t="s">
        <v>99</v>
      </c>
      <c r="M2">
        <f>-19-3</f>
        <v>-22</v>
      </c>
      <c r="N2" t="s">
        <v>100</v>
      </c>
      <c r="O2" t="s">
        <v>101</v>
      </c>
      <c r="S2" t="s">
        <v>102</v>
      </c>
      <c r="T2" t="s">
        <v>103</v>
      </c>
      <c r="U2" t="s">
        <v>104</v>
      </c>
      <c r="V2" t="s">
        <v>105</v>
      </c>
      <c r="W2">
        <v>-0.37261050342657998</v>
      </c>
      <c r="X2" t="s">
        <v>106</v>
      </c>
      <c r="Y2" t="s">
        <v>107</v>
      </c>
      <c r="Z2" t="s">
        <v>108</v>
      </c>
      <c r="AB2" t="s">
        <v>109</v>
      </c>
      <c r="AC2" t="s">
        <v>110</v>
      </c>
      <c r="AD2" s="1">
        <v>45104</v>
      </c>
      <c r="AE2" t="s">
        <v>111</v>
      </c>
      <c r="AF2" t="s">
        <v>112</v>
      </c>
      <c r="AG2" t="s">
        <v>113</v>
      </c>
      <c r="AH2" t="s">
        <v>99</v>
      </c>
      <c r="AI2" t="s">
        <v>114</v>
      </c>
      <c r="AJ2" t="s">
        <v>115</v>
      </c>
      <c r="AK2" t="s">
        <v>116</v>
      </c>
      <c r="AL2" s="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122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BJ2">
        <v>0</v>
      </c>
      <c r="BK2">
        <v>0</v>
      </c>
      <c r="BL2">
        <v>0</v>
      </c>
      <c r="BM2">
        <v>0</v>
      </c>
      <c r="BN2">
        <v>-3</v>
      </c>
      <c r="BO2">
        <v>-16</v>
      </c>
      <c r="BP2">
        <v>-14</v>
      </c>
      <c r="BQ2">
        <v>-3</v>
      </c>
    </row>
    <row r="3" spans="1:94" ht="85" x14ac:dyDescent="0.2">
      <c r="A3" t="s">
        <v>128</v>
      </c>
      <c r="B3" t="s">
        <v>95</v>
      </c>
      <c r="C3" t="s">
        <v>96</v>
      </c>
      <c r="D3">
        <v>1100</v>
      </c>
      <c r="E3">
        <v>17</v>
      </c>
      <c r="F3">
        <v>-1</v>
      </c>
      <c r="G3">
        <v>41276135</v>
      </c>
      <c r="H3">
        <v>43124118</v>
      </c>
      <c r="I3">
        <v>43124118</v>
      </c>
      <c r="J3" t="s">
        <v>97</v>
      </c>
      <c r="K3" t="s">
        <v>101</v>
      </c>
      <c r="L3" t="s">
        <v>99</v>
      </c>
      <c r="M3">
        <f>-19-3</f>
        <v>-22</v>
      </c>
      <c r="N3" t="s">
        <v>100</v>
      </c>
      <c r="O3" t="s">
        <v>98</v>
      </c>
      <c r="S3" t="s">
        <v>129</v>
      </c>
      <c r="T3" t="s">
        <v>103</v>
      </c>
      <c r="U3" t="s">
        <v>104</v>
      </c>
      <c r="V3" t="s">
        <v>105</v>
      </c>
      <c r="W3">
        <v>-4.5313469224508303E-2</v>
      </c>
      <c r="X3" t="s">
        <v>130</v>
      </c>
      <c r="Y3" t="s">
        <v>107</v>
      </c>
      <c r="Z3" t="s">
        <v>108</v>
      </c>
      <c r="AA3" s="3">
        <v>2.9917570589199998E-5</v>
      </c>
      <c r="AB3" t="s">
        <v>131</v>
      </c>
      <c r="AC3" t="s">
        <v>132</v>
      </c>
      <c r="AD3" s="1">
        <v>43634</v>
      </c>
      <c r="AE3" t="s">
        <v>111</v>
      </c>
      <c r="AF3" t="s">
        <v>112</v>
      </c>
      <c r="AG3" t="s">
        <v>113</v>
      </c>
      <c r="AH3" t="s">
        <v>99</v>
      </c>
      <c r="AI3" t="s">
        <v>114</v>
      </c>
      <c r="AJ3" t="s">
        <v>115</v>
      </c>
      <c r="AK3" t="s">
        <v>116</v>
      </c>
      <c r="AL3" s="2" t="s">
        <v>117</v>
      </c>
      <c r="AM3" t="s">
        <v>118</v>
      </c>
      <c r="AN3" t="s">
        <v>119</v>
      </c>
      <c r="AO3" t="s">
        <v>120</v>
      </c>
      <c r="AP3" t="s">
        <v>121</v>
      </c>
      <c r="AQ3" t="s">
        <v>122</v>
      </c>
      <c r="AR3" t="s">
        <v>123</v>
      </c>
      <c r="AS3" t="s">
        <v>124</v>
      </c>
      <c r="AT3" t="s">
        <v>125</v>
      </c>
      <c r="AU3" t="s">
        <v>126</v>
      </c>
      <c r="AV3" t="s">
        <v>127</v>
      </c>
      <c r="BJ3">
        <v>0.95509999999999995</v>
      </c>
      <c r="BK3">
        <v>0.81979999999999997</v>
      </c>
      <c r="BL3">
        <v>1E-4</v>
      </c>
      <c r="BM3">
        <v>0</v>
      </c>
      <c r="BN3">
        <v>-1</v>
      </c>
      <c r="BO3">
        <v>-3</v>
      </c>
      <c r="BP3">
        <v>-1</v>
      </c>
      <c r="BQ3">
        <v>-16</v>
      </c>
      <c r="BU3" t="s">
        <v>133</v>
      </c>
      <c r="BV3" t="s">
        <v>134</v>
      </c>
      <c r="BW3" s="1">
        <v>42626</v>
      </c>
    </row>
    <row r="4" spans="1:94" ht="85" x14ac:dyDescent="0.2">
      <c r="A4" t="s">
        <v>135</v>
      </c>
      <c r="B4" t="s">
        <v>95</v>
      </c>
      <c r="C4" t="s">
        <v>96</v>
      </c>
      <c r="D4">
        <v>1100</v>
      </c>
      <c r="E4">
        <v>17</v>
      </c>
      <c r="F4">
        <v>-1</v>
      </c>
      <c r="G4">
        <v>41276135</v>
      </c>
      <c r="H4">
        <v>43124118</v>
      </c>
      <c r="I4">
        <v>43124118</v>
      </c>
      <c r="J4" t="s">
        <v>97</v>
      </c>
      <c r="K4" t="s">
        <v>100</v>
      </c>
      <c r="L4" t="s">
        <v>99</v>
      </c>
      <c r="M4">
        <f>-19-3</f>
        <v>-22</v>
      </c>
      <c r="N4" t="s">
        <v>100</v>
      </c>
      <c r="O4" t="s">
        <v>97</v>
      </c>
      <c r="S4" t="s">
        <v>136</v>
      </c>
      <c r="T4" t="s">
        <v>103</v>
      </c>
      <c r="U4" t="s">
        <v>104</v>
      </c>
      <c r="V4" t="s">
        <v>105</v>
      </c>
      <c r="W4">
        <v>-0.108254138323725</v>
      </c>
      <c r="X4" t="s">
        <v>137</v>
      </c>
      <c r="Y4" t="s">
        <v>107</v>
      </c>
      <c r="Z4" t="s">
        <v>108</v>
      </c>
      <c r="AB4" t="s">
        <v>138</v>
      </c>
      <c r="AC4" t="s">
        <v>139</v>
      </c>
      <c r="AD4" t="s">
        <v>140</v>
      </c>
      <c r="AE4" t="s">
        <v>111</v>
      </c>
      <c r="AF4" t="s">
        <v>112</v>
      </c>
      <c r="AG4" t="s">
        <v>113</v>
      </c>
      <c r="AH4" t="s">
        <v>99</v>
      </c>
      <c r="AI4" t="s">
        <v>114</v>
      </c>
      <c r="AJ4" t="s">
        <v>115</v>
      </c>
      <c r="AK4" t="s">
        <v>116</v>
      </c>
      <c r="AL4" s="2" t="s">
        <v>117</v>
      </c>
      <c r="AM4" t="s">
        <v>118</v>
      </c>
      <c r="AN4" t="s">
        <v>119</v>
      </c>
      <c r="AO4" t="s">
        <v>120</v>
      </c>
      <c r="AP4" t="s">
        <v>121</v>
      </c>
      <c r="AQ4" t="s">
        <v>122</v>
      </c>
      <c r="AR4" t="s">
        <v>123</v>
      </c>
      <c r="AS4" t="s">
        <v>124</v>
      </c>
      <c r="AT4" t="s">
        <v>125</v>
      </c>
      <c r="AU4" t="s">
        <v>126</v>
      </c>
      <c r="AV4" t="s">
        <v>127</v>
      </c>
      <c r="BJ4">
        <v>0</v>
      </c>
      <c r="BK4">
        <v>0</v>
      </c>
      <c r="BL4">
        <v>0</v>
      </c>
      <c r="BM4">
        <v>0</v>
      </c>
      <c r="BN4">
        <v>-3</v>
      </c>
      <c r="BO4">
        <v>-16</v>
      </c>
      <c r="BP4">
        <v>-43</v>
      </c>
      <c r="BQ4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Pankhuri Gupta</dc:creator>
  <cp:lastModifiedBy>Pankhuri Gupta</cp:lastModifiedBy>
  <dcterms:created xsi:type="dcterms:W3CDTF">2025-11-24T18:20:56Z</dcterms:created>
  <dcterms:modified xsi:type="dcterms:W3CDTF">2025-11-24T18:21:19Z</dcterms:modified>
</cp:coreProperties>
</file>